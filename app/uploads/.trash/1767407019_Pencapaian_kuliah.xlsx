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asil Studi\"/>
    </mc:Choice>
  </mc:AlternateContent>
  <xr:revisionPtr revIDLastSave="0" documentId="13_ncr:1_{D2DE4587-BA75-4112-A86C-44F17CC0B955}" xr6:coauthVersionLast="47" xr6:coauthVersionMax="47" xr10:uidLastSave="{00000000-0000-0000-0000-000000000000}"/>
  <bookViews>
    <workbookView xWindow="-120" yWindow="-120" windowWidth="20730" windowHeight="11160" xr2:uid="{C43359DF-E7D5-41DF-B0DA-3541CDA1C7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D11" i="1"/>
  <c r="D10" i="1"/>
  <c r="D7" i="1"/>
  <c r="D8" i="1"/>
  <c r="D9" i="1"/>
</calcChain>
</file>

<file path=xl/sharedStrings.xml><?xml version="1.0" encoding="utf-8"?>
<sst xmlns="http://schemas.openxmlformats.org/spreadsheetml/2006/main" count="16" uniqueCount="12">
  <si>
    <t>Semester</t>
  </si>
  <si>
    <t>Jumlah IPK</t>
  </si>
  <si>
    <t xml:space="preserve">Capaian Hasil Belajar </t>
  </si>
  <si>
    <t xml:space="preserve">Marcellina Nova Ellyanza </t>
  </si>
  <si>
    <t xml:space="preserve">NM : IF0222023      PRODI : INFORMATIKA </t>
  </si>
  <si>
    <t>Mulai</t>
  </si>
  <si>
    <t>Berakhir</t>
  </si>
  <si>
    <t>??/03/2023</t>
  </si>
  <si>
    <t xml:space="preserve">KHS </t>
  </si>
  <si>
    <t>pdf</t>
  </si>
  <si>
    <t>Jumlah IPS</t>
  </si>
  <si>
    <t>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</si>
</sst>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1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GRAFIK</a:t>
            </a:r>
            <a:r>
              <a:rPr lang="en-ID" baseline="0"/>
              <a:t> NILAI 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Sheet1!$C$6</c:f>
              <c:strCache>
                <c:ptCount val="1"/>
                <c:pt idx="0">
                  <c:v>Jumlah IPS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Sheet1!$B$7:$B$14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Sheet1!$C$7:$C$14</c:f>
              <c:numCache>
                <c:formatCode>General</c:formatCode>
                <c:ptCount val="8"/>
                <c:pt idx="0">
                  <c:v>3.29</c:v>
                </c:pt>
                <c:pt idx="1">
                  <c:v>3.51</c:v>
                </c:pt>
                <c:pt idx="2">
                  <c:v>3.74</c:v>
                </c:pt>
                <c:pt idx="3">
                  <c:v>3.83</c:v>
                </c:pt>
                <c:pt idx="4">
                  <c:v>3.9</c:v>
                </c:pt>
                <c:pt idx="5">
                  <c:v>3.74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7-47A2-9905-4EE42870753B}"/>
            </c:ext>
          </c:extLst>
        </c:ser>
        <c:ser>
          <c:idx val="1"/>
          <c:order val="1"/>
          <c:tx>
            <c:strRef>
              <c:f>Sheet1!$D$6</c:f>
              <c:strCache>
                <c:ptCount val="1"/>
                <c:pt idx="0">
                  <c:v>Jumlah IPK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Sheet1!$B$7:$B$14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Sheet1!$D$7:$D$14</c:f>
              <c:numCache>
                <c:formatCode>General</c:formatCode>
                <c:ptCount val="8"/>
                <c:pt idx="0">
                  <c:v>3.29</c:v>
                </c:pt>
                <c:pt idx="1">
                  <c:v>3.4</c:v>
                </c:pt>
                <c:pt idx="2">
                  <c:v>3.5133333333333332</c:v>
                </c:pt>
                <c:pt idx="3">
                  <c:v>3.5924999999999998</c:v>
                </c:pt>
                <c:pt idx="4">
                  <c:v>3.6539999999999999</c:v>
                </c:pt>
                <c:pt idx="5">
                  <c:v>3.668333333333333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57-47A2-9905-4EE428707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5589648"/>
        <c:axId val="1290328832"/>
      </c:barChart>
      <c:catAx>
        <c:axId val="101558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328832"/>
        <c:crosses val="autoZero"/>
        <c:auto val="1"/>
        <c:lblAlgn val="ctr"/>
        <c:lblOffset val="100"/>
        <c:noMultiLvlLbl val="0"/>
      </c:catAx>
      <c:valAx>
        <c:axId val="129032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58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4</xdr:row>
      <xdr:rowOff>14287</xdr:rowOff>
    </xdr:from>
    <xdr:to>
      <xdr:col>15</xdr:col>
      <xdr:colOff>314325</xdr:colOff>
      <xdr:row>18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EBEF03-E84E-8BE9-C103-BB464BFCEE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Kartu%20Hasil%20Studi%20S4.pdf" TargetMode="External"/><Relationship Id="rId2" Type="http://schemas.openxmlformats.org/officeDocument/2006/relationships/hyperlink" Target="Kartu%20Hasil%20Studi%20S5.pdf" TargetMode="External"/><Relationship Id="rId1" Type="http://schemas.openxmlformats.org/officeDocument/2006/relationships/hyperlink" Target="Kartu%20Hasil%20Studi.pdf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Kartu%20Hasil%20Studi%20S6.pdf" TargetMode="External"/><Relationship Id="rId4" Type="http://schemas.openxmlformats.org/officeDocument/2006/relationships/hyperlink" Target="Kartu%20Hasil%20Studi%20S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DA77C-0E70-44B9-960A-F865CC645475}">
  <dimension ref="A2:G16"/>
  <sheetViews>
    <sheetView tabSelected="1" topLeftCell="A2" workbookViewId="0">
      <selection activeCell="F13" sqref="F13"/>
    </sheetView>
  </sheetViews>
  <sheetFormatPr defaultRowHeight="15" x14ac:dyDescent="0.25"/>
  <cols>
    <col min="3" max="3" width="10.28515625" customWidth="1"/>
    <col min="4" max="4" width="15.140625" customWidth="1"/>
    <col min="5" max="6" width="11.42578125" customWidth="1"/>
  </cols>
  <sheetData>
    <row r="2" spans="1:7" x14ac:dyDescent="0.25">
      <c r="A2" s="6" t="s">
        <v>2</v>
      </c>
      <c r="B2" s="6"/>
      <c r="C2" s="6"/>
      <c r="D2" s="6"/>
      <c r="E2" s="6"/>
      <c r="F2" s="6"/>
    </row>
    <row r="3" spans="1:7" x14ac:dyDescent="0.25">
      <c r="A3" s="6" t="s">
        <v>3</v>
      </c>
      <c r="B3" s="6"/>
      <c r="C3" s="6"/>
      <c r="D3" s="6"/>
      <c r="E3" s="6"/>
      <c r="F3" s="6"/>
    </row>
    <row r="4" spans="1:7" x14ac:dyDescent="0.25">
      <c r="A4" s="6" t="s">
        <v>4</v>
      </c>
      <c r="B4" s="6"/>
      <c r="C4" s="6"/>
      <c r="D4" s="6"/>
      <c r="E4" s="6"/>
      <c r="F4" s="6"/>
    </row>
    <row r="6" spans="1:7" x14ac:dyDescent="0.25">
      <c r="B6" s="1" t="s">
        <v>0</v>
      </c>
      <c r="C6" s="1" t="s">
        <v>10</v>
      </c>
      <c r="D6" s="1" t="s">
        <v>1</v>
      </c>
      <c r="E6" s="1" t="s">
        <v>5</v>
      </c>
      <c r="F6" s="1" t="s">
        <v>6</v>
      </c>
      <c r="G6" s="2" t="s">
        <v>8</v>
      </c>
    </row>
    <row r="7" spans="1:7" x14ac:dyDescent="0.25">
      <c r="B7" s="2">
        <v>1</v>
      </c>
      <c r="C7" s="2">
        <v>3.29</v>
      </c>
      <c r="D7" s="2">
        <f>C7/B7</f>
        <v>3.29</v>
      </c>
      <c r="E7" s="3">
        <v>44837</v>
      </c>
      <c r="F7" s="3">
        <v>44963</v>
      </c>
      <c r="G7" s="5" t="s">
        <v>11</v>
      </c>
    </row>
    <row r="8" spans="1:7" x14ac:dyDescent="0.25">
      <c r="B8" s="2">
        <v>2</v>
      </c>
      <c r="C8" s="2">
        <v>3.51</v>
      </c>
      <c r="D8" s="2">
        <f>(C7+C8)/B8</f>
        <v>3.4</v>
      </c>
      <c r="E8" s="2" t="s">
        <v>7</v>
      </c>
      <c r="F8" s="3">
        <v>45166</v>
      </c>
      <c r="G8" s="2" t="s">
        <v>11</v>
      </c>
    </row>
    <row r="9" spans="1:7" x14ac:dyDescent="0.25">
      <c r="B9" s="2">
        <v>3</v>
      </c>
      <c r="C9" s="2">
        <v>3.74</v>
      </c>
      <c r="D9" s="2">
        <f>(C7+C8+C9)/B9</f>
        <v>3.5133333333333332</v>
      </c>
      <c r="E9" s="3">
        <v>45173</v>
      </c>
      <c r="F9" s="3">
        <v>45316</v>
      </c>
      <c r="G9" s="4" t="s">
        <v>9</v>
      </c>
    </row>
    <row r="10" spans="1:7" x14ac:dyDescent="0.25">
      <c r="B10" s="2">
        <v>4</v>
      </c>
      <c r="C10" s="2">
        <v>3.83</v>
      </c>
      <c r="D10" s="2">
        <f>(C7+C8+C9+C10)/B10</f>
        <v>3.5924999999999998</v>
      </c>
      <c r="E10" s="3">
        <v>45355</v>
      </c>
      <c r="F10" s="3">
        <v>45490</v>
      </c>
      <c r="G10" s="5" t="s">
        <v>9</v>
      </c>
    </row>
    <row r="11" spans="1:7" x14ac:dyDescent="0.25">
      <c r="B11" s="2">
        <v>5</v>
      </c>
      <c r="C11" s="2">
        <v>3.9</v>
      </c>
      <c r="D11" s="2">
        <f>SUM(C7+C8+C9+C10+C11)/B11</f>
        <v>3.6539999999999999</v>
      </c>
      <c r="E11" s="3">
        <v>45544</v>
      </c>
      <c r="F11" s="3">
        <v>45673</v>
      </c>
      <c r="G11" s="5" t="s">
        <v>9</v>
      </c>
    </row>
    <row r="12" spans="1:7" x14ac:dyDescent="0.25">
      <c r="B12" s="2">
        <v>6</v>
      </c>
      <c r="C12" s="2">
        <v>3.74</v>
      </c>
      <c r="D12" s="2">
        <f>SUM(C7+C8+C9+C10+C11+C12)/B12</f>
        <v>3.668333333333333</v>
      </c>
      <c r="E12" s="3">
        <v>45680</v>
      </c>
      <c r="F12" s="3">
        <v>45857</v>
      </c>
      <c r="G12" s="5" t="s">
        <v>9</v>
      </c>
    </row>
    <row r="13" spans="1:7" x14ac:dyDescent="0.25">
      <c r="B13" s="2">
        <v>7</v>
      </c>
      <c r="C13" s="2"/>
      <c r="D13" s="2"/>
      <c r="E13" s="3">
        <v>45870</v>
      </c>
      <c r="F13" s="2"/>
      <c r="G13" s="2"/>
    </row>
    <row r="14" spans="1:7" x14ac:dyDescent="0.25">
      <c r="B14" s="2">
        <v>8</v>
      </c>
      <c r="C14" s="2"/>
      <c r="D14" s="2"/>
      <c r="E14" s="2"/>
      <c r="F14" s="2"/>
      <c r="G14" s="2"/>
    </row>
    <row r="15" spans="1:7" x14ac:dyDescent="0.25">
      <c r="B15" s="2"/>
      <c r="C15" s="2"/>
      <c r="D15" s="2"/>
      <c r="E15" s="2"/>
      <c r="F15" s="2"/>
      <c r="G15" s="2"/>
    </row>
    <row r="16" spans="1:7" x14ac:dyDescent="0.25">
      <c r="B16" s="2"/>
      <c r="C16" s="2"/>
      <c r="D16" s="2"/>
      <c r="E16" s="2"/>
      <c r="F16" s="2"/>
      <c r="G16" s="2"/>
    </row>
  </sheetData>
  <mergeCells count="3">
    <mergeCell ref="A4:F4"/>
    <mergeCell ref="A3:F3"/>
    <mergeCell ref="A2:F2"/>
  </mergeCells>
  <hyperlinks>
    <hyperlink ref="G9" r:id="rId1" xr:uid="{BC77C55D-EF09-4FA9-AC07-6D26D3F05A19}"/>
    <hyperlink ref="G11" r:id="rId2" xr:uid="{7419B5DD-A1C1-4A78-B7A5-144BBD5E313C}"/>
    <hyperlink ref="G10" r:id="rId3" xr:uid="{FB3C0849-5C65-4769-9CE4-296697849769}"/>
    <hyperlink ref="G7" r:id="rId4" xr:uid="{3385D43E-A779-4530-8B69-D3E8494A8B0E}"/>
    <hyperlink ref="G12" r:id="rId5" xr:uid="{F4200A68-28F3-4F7F-A928-A00C0C810582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Marcellina Nova</cp:lastModifiedBy>
  <dcterms:created xsi:type="dcterms:W3CDTF">2023-07-28T14:13:55Z</dcterms:created>
  <dcterms:modified xsi:type="dcterms:W3CDTF">2025-09-03T15:25:54Z</dcterms:modified>
</cp:coreProperties>
</file>